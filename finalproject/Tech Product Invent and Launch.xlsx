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xr:revisionPtr revIDLastSave="0" documentId="8_{D72443B8-F954-4EF5-A566-467C520CF0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7" i="1"/>
  <c r="G18" i="1"/>
  <c r="F19" i="1"/>
  <c r="F18" i="1"/>
  <c r="F17" i="1"/>
  <c r="E19" i="1"/>
  <c r="E18" i="1"/>
  <c r="E17" i="1"/>
  <c r="C13" i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<sst xmlns="http://schemas.openxmlformats.org/spreadsheetml/2006/main" count="56" uniqueCount="44">
  <si>
    <t xml:space="preserve">Product </t>
  </si>
  <si>
    <t>Product Name</t>
  </si>
  <si>
    <t>Category</t>
  </si>
  <si>
    <t>Price ($)</t>
  </si>
  <si>
    <t>Units in Stock</t>
  </si>
  <si>
    <t>Launch Date</t>
  </si>
  <si>
    <t>Availability</t>
  </si>
  <si>
    <t>Holographic Desk</t>
  </si>
  <si>
    <t>Furniture Tech</t>
  </si>
  <si>
    <t>Coming Soon</t>
  </si>
  <si>
    <t>In Stock</t>
  </si>
  <si>
    <t>Smart Mirror</t>
  </si>
  <si>
    <t>Home Tech</t>
  </si>
  <si>
    <t>Smart AI Robot</t>
  </si>
  <si>
    <t>Robotics</t>
  </si>
  <si>
    <t>Calculations</t>
  </si>
  <si>
    <t>Calculation Name</t>
  </si>
  <si>
    <t>Description</t>
  </si>
  <si>
    <t xml:space="preserve">Result </t>
  </si>
  <si>
    <t>Total Products</t>
  </si>
  <si>
    <t>Count of all tech products launched</t>
  </si>
  <si>
    <t>Total Inventory Value</t>
  </si>
  <si>
    <t>Total value of all products in stock</t>
  </si>
  <si>
    <t>Average Product Price</t>
  </si>
  <si>
    <t>Average price of all tech products</t>
  </si>
  <si>
    <t>Products In Stock</t>
  </si>
  <si>
    <t>Count of products currently in stock</t>
  </si>
  <si>
    <t>Highest Price</t>
  </si>
  <si>
    <t>Product with highest price</t>
  </si>
  <si>
    <t xml:space="preserve">Lowest Price </t>
  </si>
  <si>
    <t>Product with lowest price</t>
  </si>
  <si>
    <t>Expected Sales and Profit(1 Month)</t>
  </si>
  <si>
    <t>Website Price ($)</t>
  </si>
  <si>
    <t>Estimated Cost ($)</t>
  </si>
  <si>
    <t>Expected Sales(1 Month)</t>
  </si>
  <si>
    <t>Expected Revenue ($)</t>
  </si>
  <si>
    <t>Profit Margin (%)</t>
  </si>
  <si>
    <t>Expected Profit ($)</t>
  </si>
  <si>
    <t>Customer Interest</t>
  </si>
  <si>
    <t>Interest Score (1–10)</t>
  </si>
  <si>
    <t>Reason for Interest</t>
  </si>
  <si>
    <t>Innovative design, trending</t>
  </si>
  <si>
    <t>Useful for home, high demand</t>
  </si>
  <si>
    <t>Practical, tech appeal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</si>
</sst>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quotePrefix="1"/>
    <xf numFmtId="0" fontId="0" fillId="0" borderId="0" xfId="0" applyAlignment="1">
      <alignment vertical="top"/>
    </xf>
    <xf numFmtId="0" fontId="0" fillId="3" borderId="1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3" fillId="2" borderId="7" xfId="0" applyFont="1" applyFill="1" applyBorder="1"/>
    <xf numFmtId="0" fontId="3" fillId="2" borderId="0" xfId="0" applyFont="1" applyFill="1" applyBorder="1"/>
    <xf numFmtId="0" fontId="3" fillId="2" borderId="8" xfId="0" applyFont="1" applyFill="1" applyBorder="1"/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5">
    <dxf>
      <numFmt numFmtId="3" formatCode="#,##0"/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Sheet1!$E$16</c:f>
              <c:strCache>
                <c:ptCount val="1"/>
                <c:pt idx="0">
                  <c:v>Expected Revenue ($)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Sheet1!$A$17:$A$19</c:f>
              <c:strCache>
                <c:ptCount val="3"/>
                <c:pt idx="0">
                  <c:v>Holographic Desk</c:v>
                </c:pt>
                <c:pt idx="1">
                  <c:v>Smart Mirror</c:v>
                </c:pt>
                <c:pt idx="2">
                  <c:v>Smart AI Robot</c:v>
                </c:pt>
              </c:strCache>
            </c:strRef>
          </c:cat>
          <c:val>
            <c:numRef>
              <c:f>Sheet1!$E$17:$E$19</c:f>
              <c:numCache>
                <c:formatCode>General</c:formatCode>
                <c:ptCount val="3"/>
                <c:pt idx="0">
                  <c:v>115992</c:v>
                </c:pt>
                <c:pt idx="1">
                  <c:v>400990</c:v>
                </c:pt>
                <c:pt idx="2">
                  <c:v>109980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5-478E-BBA7-BA2102024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4676871"/>
        <c:axId val="824678919"/>
      </c:barChart>
      <c:valAx>
        <c:axId val="824678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76871"/>
        <c:crossBetween val="between"/>
      </c:valAx>
      <c:catAx>
        <c:axId val="8246768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7891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Aptos Narrow" panose="02110004020202020204"/>
              </a:rPr>
              <a:t>Expected Profit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Sheet1!$G$16</c:f>
              <c:strCache>
                <c:ptCount val="1"/>
                <c:pt idx="0">
                  <c:v>Expected Profit ($)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Sheet1!$A$17:$A$19</c:f>
              <c:strCache>
                <c:ptCount val="3"/>
                <c:pt idx="0">
                  <c:v>Holographic Desk</c:v>
                </c:pt>
                <c:pt idx="1">
                  <c:v>Smart Mirror</c:v>
                </c:pt>
                <c:pt idx="2">
                  <c:v>Smart AI Robot</c:v>
                </c:pt>
              </c:strCache>
            </c:strRef>
          </c:cat>
          <c:val>
            <c:numRef>
              <c:f>Sheet1!$G$17:$G$19</c:f>
              <c:numCache>
                <c:formatCode>General</c:formatCode>
                <c:ptCount val="3"/>
                <c:pt idx="0">
                  <c:v>23200</c:v>
                </c:pt>
                <c:pt idx="1">
                  <c:v>100250</c:v>
                </c:pt>
                <c:pt idx="2" formatCode="#,##0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9-46E1-BD01-74D96431B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36398087"/>
        <c:axId val="1036404231"/>
      </c:barChart>
      <c:catAx>
        <c:axId val="1036398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404231"/>
        <c:crosses val="autoZero"/>
        <c:auto val="1"/>
        <c:lblAlgn val="ctr"/>
        <c:lblOffset val="100"/>
        <c:noMultiLvlLbl val="0"/>
      </c:catAx>
      <c:valAx>
        <c:axId val="1036404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6398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Sheet1!$E$1</c:f>
              <c:strCache>
                <c:ptCount val="1"/>
                <c:pt idx="0">
                  <c:v>Units in Stock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Sheet1!$B$2:$B$4</c:f>
              <c:strCache>
                <c:ptCount val="3"/>
                <c:pt idx="0">
                  <c:v>Holographic Desk</c:v>
                </c:pt>
                <c:pt idx="1">
                  <c:v>Smart Mirror</c:v>
                </c:pt>
                <c:pt idx="2">
                  <c:v>Smart AI Robot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10</c:v>
                </c:pt>
                <c:pt idx="1">
                  <c:v>25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C-4CC8-BEA9-883191DDF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Interest Score (1–10)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Sheet1!$A$23:$A$25</c:f>
              <c:strCache>
                <c:ptCount val="3"/>
                <c:pt idx="0">
                  <c:v>Holographic Desk</c:v>
                </c:pt>
                <c:pt idx="1">
                  <c:v>Smart Mirror</c:v>
                </c:pt>
                <c:pt idx="2">
                  <c:v>Smart AI Robot</c:v>
                </c:pt>
              </c:strCache>
            </c:strRef>
          </c:cat>
          <c:val>
            <c:numRef>
              <c:f>Sheet1!$B$23:$B$25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0-47B8-9EF9-2124DDD6A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778631"/>
        <c:axId val="1226797063"/>
      </c:barChart>
      <c:catAx>
        <c:axId val="1226778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7063"/>
        <c:crosses val="autoZero"/>
        <c:auto val="1"/>
        <c:lblAlgn val="ctr"/>
        <c:lblOffset val="100"/>
        <c:noMultiLvlLbl val="0"/>
      </c:catAx>
      <c:valAx>
        <c:axId val="1226797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78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9525</xdr:rowOff>
    </xdr:from>
    <xdr:to>
      <xdr:col>3</xdr:col>
      <xdr:colOff>19050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6F590D-062A-6C91-9E02-DA713C08A904}"/>
            </a:ext>
            <a:ext uri="{147F2762-F138-4A5C-976F-8EAC2B608ADB}">
              <a16:predDERef xmlns:a16="http://schemas.microsoft.com/office/drawing/2014/main" pred="{FBD55D25-2207-CB21-9365-9316EFE4D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1609725</xdr:colOff>
      <xdr:row>26</xdr:row>
      <xdr:rowOff>180975</xdr:rowOff>
    </xdr:from>
    <xdr:to>
      <xdr:col>9</xdr:col>
      <xdr:colOff>466725</xdr:colOff>
      <xdr:row>43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85ABBC-27B2-D8E2-D030-8B3EA0847610}"/>
            </a:ext>
            <a:ext uri="{147F2762-F138-4A5C-976F-8EAC2B608ADB}">
              <a16:predDERef xmlns:a16="http://schemas.microsoft.com/office/drawing/2014/main" pred="{BE6F590D-062A-6C91-9E02-DA713C08A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2</xdr:col>
      <xdr:colOff>466725</xdr:colOff>
      <xdr:row>58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C9DADD-8769-8513-532B-B2E1AA084E4C}"/>
            </a:ext>
            <a:ext uri="{147F2762-F138-4A5C-976F-8EAC2B608ADB}">
              <a16:predDERef xmlns:a16="http://schemas.microsoft.com/office/drawing/2014/main" pred="{7D85ABBC-27B2-D8E2-D030-8B3EA0847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1600200</xdr:colOff>
      <xdr:row>44</xdr:row>
      <xdr:rowOff>161925</xdr:rowOff>
    </xdr:from>
    <xdr:to>
      <xdr:col>8</xdr:col>
      <xdr:colOff>57150</xdr:colOff>
      <xdr:row>60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965E60-4672-D7B9-356D-8CE9BDB887F9}"/>
            </a:ext>
            <a:ext uri="{147F2762-F138-4A5C-976F-8EAC2B608ADB}">
              <a16:predDERef xmlns:a16="http://schemas.microsoft.com/office/drawing/2014/main" pred="{59C9DADD-8769-8513-532B-B2E1AA084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0A7E9-F4C9-4002-899F-B16C9A419EE1}" name="Table1" displayName="Table1" ref="A1:G4" totalsRowShown="0" headerRowDxfId="4">
  <autoFilter ref="A1:G4" xr:uid="{4100A7E9-F4C9-4002-899F-B16C9A419EE1}"/>
  <tableColumns count="7">
    <tableColumn id="1" xr3:uid="{467FC5B9-113A-4DEE-B13D-FD39D3B5F400}" name="Product "/>
    <tableColumn id="2" xr3:uid="{243B5B3F-FE2C-4AC4-93AE-2AA74412883C}" name="Product Name"/>
    <tableColumn id="3" xr3:uid="{CD6D0D28-EB1C-43E3-84D9-EE6B9C27FD5E}" name="Category"/>
    <tableColumn id="4" xr3:uid="{F6BEAC24-9CCF-40EC-A84D-FA0C7F9B59D2}" name="Price ($)"/>
    <tableColumn id="5" xr3:uid="{0C587370-A9E3-494B-B96C-FDE83EC91616}" name="Units in Stock"/>
    <tableColumn id="6" xr3:uid="{D6D76405-8141-4DD8-8CA6-458A42023A02}" name="Launch Date" dataDxfId="3"/>
    <tableColumn id="7" xr3:uid="{54806C55-6275-4579-9648-C62CC2E8C2C0}" name="Availa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E7C17A-BBE8-4169-928E-48356F5CCE5E}" name="Table3" displayName="Table3" ref="A7:C13" totalsRowShown="0" headerRowDxfId="2" tableBorderDxfId="1">
  <autoFilter ref="A7:C13" xr:uid="{B3E7C17A-BBE8-4169-928E-48356F5CCE5E}"/>
  <tableColumns count="3">
    <tableColumn id="1" xr3:uid="{697829E9-62F0-469A-B84F-4A3F8242A564}" name="Calculation Name"/>
    <tableColumn id="2" xr3:uid="{A3372269-1B6D-44F9-9C15-F7C9C99318F3}" name="Description"/>
    <tableColumn id="3" xr3:uid="{AA8FA4A9-47B2-4363-B8DF-A58226103EB5}" name="Result 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A95395-CB8A-443C-AF23-4ECE0F8EDDCE}" name="Table4" displayName="Table4" ref="A16:G19" totalsRowShown="0">
  <autoFilter ref="A16:G19" xr:uid="{10A95395-CB8A-443C-AF23-4ECE0F8EDDCE}"/>
  <tableColumns count="7">
    <tableColumn id="1" xr3:uid="{77020B2E-5F63-4B6F-AB47-6FFAB677595B}" name="Product Name"/>
    <tableColumn id="2" xr3:uid="{089C79E6-C595-4E36-B501-6BFD6EF50A84}" name="Website Price ($)" dataDxfId="0"/>
    <tableColumn id="3" xr3:uid="{DE2391F1-16DA-41F9-8999-2ED7F9522D9C}" name="Estimated Cost ($)"/>
    <tableColumn id="4" xr3:uid="{EDFE5621-A3DB-4331-936E-B805F165B541}" name="Expected Sales(1 Month)"/>
    <tableColumn id="5" xr3:uid="{950BC564-C19C-4E5D-91AA-078BEE4A2663}" name="Expected Revenue ($)">
      <calculatedColumnFormula>B17*D17</calculatedColumnFormula>
    </tableColumn>
    <tableColumn id="6" xr3:uid="{F2766379-08B1-4B15-B8A1-4F33AF5ECEB2}" name="Profit Margin (%)">
      <calculatedColumnFormula>(B17-C17)*100/C17</calculatedColumnFormula>
    </tableColumn>
    <tableColumn id="7" xr3:uid="{C514EE31-EDB6-4A35-B479-AB2C1388FF60}" name="Expected Profit ($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D0038D-B247-497E-AEBF-77410B0DC9DE}" name="Table5" displayName="Table5" ref="A22:C25" totalsRowShown="0">
  <autoFilter ref="A22:C25" xr:uid="{4CD0038D-B247-497E-AEBF-77410B0DC9DE}"/>
  <tableColumns count="3">
    <tableColumn id="1" xr3:uid="{9F523AF9-E6D4-4CAC-8E27-28B1E9505F87}" name="Product Name"/>
    <tableColumn id="2" xr3:uid="{D18B19A9-5BA9-4E3B-9AE8-788C5C38D3E0}" name="Interest Score (1–10)"/>
    <tableColumn id="3" xr3:uid="{1E3A79AF-4314-4810-A19C-44C2C7D276B1}" name="Reason for Inter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13" sqref="E13"/>
    </sheetView>
  </sheetViews>
  <sheetFormatPr defaultRowHeight="15"/>
  <cols>
    <col min="1" max="1" width="23.140625" customWidth="1"/>
    <col min="2" max="2" width="36" bestFit="1" customWidth="1"/>
    <col min="3" max="3" width="28.28515625" bestFit="1" customWidth="1"/>
    <col min="4" max="4" width="25" bestFit="1" customWidth="1"/>
    <col min="5" max="5" width="22.28515625" customWidth="1"/>
    <col min="6" max="6" width="17.7109375" bestFit="1" customWidth="1"/>
    <col min="7" max="7" width="19.4257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4">
        <v>1</v>
      </c>
      <c r="B2" t="s">
        <v>7</v>
      </c>
      <c r="C2" t="s">
        <v>8</v>
      </c>
      <c r="D2">
        <v>14499</v>
      </c>
      <c r="E2">
        <v>10</v>
      </c>
      <c r="F2" s="2" t="s">
        <v>9</v>
      </c>
      <c r="G2" t="s">
        <v>10</v>
      </c>
    </row>
    <row r="3" spans="1:7">
      <c r="A3">
        <v>2</v>
      </c>
      <c r="B3" t="s">
        <v>11</v>
      </c>
      <c r="C3" t="s">
        <v>12</v>
      </c>
      <c r="D3">
        <v>40099</v>
      </c>
      <c r="E3">
        <v>25</v>
      </c>
      <c r="F3" s="2" t="s">
        <v>9</v>
      </c>
      <c r="G3" t="s">
        <v>10</v>
      </c>
    </row>
    <row r="4" spans="1:7">
      <c r="A4">
        <v>3</v>
      </c>
      <c r="B4" t="s">
        <v>13</v>
      </c>
      <c r="C4" t="s">
        <v>14</v>
      </c>
      <c r="D4">
        <v>5499</v>
      </c>
      <c r="E4">
        <v>30</v>
      </c>
      <c r="F4" s="2" t="s">
        <v>9</v>
      </c>
      <c r="G4" t="s">
        <v>10</v>
      </c>
    </row>
    <row r="6" spans="1:7">
      <c r="A6" s="18" t="s">
        <v>15</v>
      </c>
      <c r="B6" s="18"/>
      <c r="C6" s="18"/>
      <c r="D6" s="18"/>
      <c r="E6" s="18"/>
      <c r="F6" s="18"/>
      <c r="G6" s="18"/>
    </row>
    <row r="7" spans="1:7">
      <c r="A7" s="14" t="s">
        <v>16</v>
      </c>
      <c r="B7" s="15" t="s">
        <v>17</v>
      </c>
      <c r="C7" s="16" t="s">
        <v>18</v>
      </c>
      <c r="D7" s="3"/>
    </row>
    <row r="8" spans="1:7">
      <c r="A8" s="5" t="s">
        <v>19</v>
      </c>
      <c r="B8" s="6" t="s">
        <v>20</v>
      </c>
      <c r="C8" s="7">
        <f>COUNTA(B2:B4)</f>
        <v>3</v>
      </c>
      <c r="D8" s="3"/>
    </row>
    <row r="9" spans="1:7">
      <c r="A9" s="8" t="s">
        <v>21</v>
      </c>
      <c r="B9" s="9" t="s">
        <v>22</v>
      </c>
      <c r="C9" s="10">
        <f>SUMPRODUCT(D2:D4,E2:E4)</f>
        <v>1312435</v>
      </c>
      <c r="D9" s="3"/>
    </row>
    <row r="10" spans="1:7">
      <c r="A10" s="5" t="s">
        <v>23</v>
      </c>
      <c r="B10" s="6" t="s">
        <v>24</v>
      </c>
      <c r="C10" s="7">
        <f>AVERAGE(D2:D4)</f>
        <v>20032.333333333332</v>
      </c>
    </row>
    <row r="11" spans="1:7">
      <c r="A11" s="11" t="s">
        <v>25</v>
      </c>
      <c r="B11" s="12" t="s">
        <v>26</v>
      </c>
      <c r="C11" s="13">
        <f>COUNTIF(G2:G4,"In Stock")</f>
        <v>3</v>
      </c>
    </row>
    <row r="12" spans="1:7">
      <c r="A12" t="s">
        <v>27</v>
      </c>
      <c r="B12" t="s">
        <v>28</v>
      </c>
      <c r="C12" s="3">
        <f>MAX(D2:D4)</f>
        <v>40099</v>
      </c>
    </row>
    <row r="13" spans="1:7">
      <c r="A13" t="s">
        <v>29</v>
      </c>
      <c r="B13" t="s">
        <v>30</v>
      </c>
      <c r="C13">
        <f>MIN(D2:D4)</f>
        <v>5499</v>
      </c>
    </row>
    <row r="15" spans="1:7">
      <c r="A15" s="20" t="s">
        <v>31</v>
      </c>
      <c r="B15" s="19"/>
      <c r="C15" s="19"/>
      <c r="D15" s="19"/>
      <c r="E15" s="19"/>
      <c r="F15" s="19"/>
      <c r="G15" s="19"/>
    </row>
    <row r="16" spans="1:7">
      <c r="A16" t="s">
        <v>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</row>
    <row r="17" spans="1:7">
      <c r="A17" t="s">
        <v>7</v>
      </c>
      <c r="B17" s="17">
        <v>14499</v>
      </c>
      <c r="C17">
        <v>11599</v>
      </c>
      <c r="D17">
        <v>8</v>
      </c>
      <c r="E17">
        <f>B17*D17</f>
        <v>115992</v>
      </c>
      <c r="F17">
        <f>(B17-C17)*100/B17</f>
        <v>20.001379405476239</v>
      </c>
      <c r="G17">
        <f>(B17-C17)*D17</f>
        <v>23200</v>
      </c>
    </row>
    <row r="18" spans="1:7">
      <c r="A18" t="s">
        <v>11</v>
      </c>
      <c r="B18" s="17">
        <v>40099</v>
      </c>
      <c r="C18">
        <v>30074</v>
      </c>
      <c r="D18">
        <v>10</v>
      </c>
      <c r="E18">
        <f>B18*D18</f>
        <v>400990</v>
      </c>
      <c r="F18">
        <f>(B18-C18)*100/C18</f>
        <v>33.334441710447564</v>
      </c>
      <c r="G18">
        <f>(B18-C18)*D18</f>
        <v>100250</v>
      </c>
    </row>
    <row r="19" spans="1:7">
      <c r="A19" t="s">
        <v>13</v>
      </c>
      <c r="B19" s="17">
        <v>5499</v>
      </c>
      <c r="C19">
        <v>4674</v>
      </c>
      <c r="D19">
        <v>20</v>
      </c>
      <c r="E19">
        <f>B19*D19</f>
        <v>109980</v>
      </c>
      <c r="F19">
        <f>(B19-C19)*100/C19</f>
        <v>17.650834403080871</v>
      </c>
      <c r="G19" s="17">
        <f>(B19-C19)-D19</f>
        <v>805</v>
      </c>
    </row>
    <row r="21" spans="1:7">
      <c r="A21" s="20" t="s">
        <v>38</v>
      </c>
      <c r="B21" s="19"/>
      <c r="C21" s="19"/>
      <c r="D21" s="19"/>
      <c r="E21" s="19"/>
      <c r="F21" s="19"/>
      <c r="G21" s="19"/>
    </row>
    <row r="22" spans="1:7">
      <c r="A22" t="s">
        <v>1</v>
      </c>
      <c r="B22" t="s">
        <v>39</v>
      </c>
      <c r="C22" t="s">
        <v>40</v>
      </c>
    </row>
    <row r="23" spans="1:7">
      <c r="A23" t="s">
        <v>7</v>
      </c>
      <c r="B23">
        <v>7</v>
      </c>
      <c r="C23" t="s">
        <v>41</v>
      </c>
    </row>
    <row r="24" spans="1:7">
      <c r="A24" t="s">
        <v>11</v>
      </c>
      <c r="B24">
        <v>8</v>
      </c>
      <c r="C24" t="s">
        <v>42</v>
      </c>
    </row>
    <row r="25" spans="1:7">
      <c r="A25" t="s">
        <v>13</v>
      </c>
      <c r="B25">
        <v>9</v>
      </c>
      <c r="C25" t="s">
        <v>43</v>
      </c>
    </row>
  </sheetData>
  <mergeCells count="3">
    <mergeCell ref="A6:G6"/>
    <mergeCell ref="A15:G15"/>
    <mergeCell ref="A21:G2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2026-01-02T12:06:44Z</dcterms:created>
  <dcterms:modified xsi:type="dcterms:W3CDTF">2026-01-02T17:32:08Z</dcterms:modified>
  <cp:category/>
  <cp:contentStatus/>
</cp:coreProperties>
</file>